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 0 階段" sheetId="1" state="visible" r:id="rId1"/>
    <sheet name="第 1 階段" sheetId="2" state="visible" r:id="rId2"/>
    <sheet name="第 2 階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0F6E56"/>
      <sz val="16"/>
    </font>
    <font>
      <name val="Microsoft JhengHei"/>
      <color rgb="004A4D53"/>
      <sz val="10"/>
    </font>
    <font>
      <name val="Microsoft JhengHei"/>
      <b val="1"/>
      <color rgb="00FFFFFF"/>
    </font>
    <font>
      <name val="Microsoft JhengHei"/>
      <sz val="10"/>
    </font>
    <font>
      <name val="Microsoft JhengHei"/>
      <b val="1"/>
    </font>
  </fonts>
  <fills count="4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E6F1ED"/>
      </patternFill>
    </fill>
  </fills>
  <borders count="2">
    <border>
      <left/>
      <right/>
      <top/>
      <bottom/>
      <diagonal/>
    </border>
    <border>
      <left style="thin">
        <color rgb="00D9D7D0"/>
      </left>
      <right style="thin">
        <color rgb="00D9D7D0"/>
      </right>
      <top style="thin">
        <color rgb="00D9D7D0"/>
      </top>
      <bottom style="thin">
        <color rgb="00D9D7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5" fillId="0" borderId="0" pivotButton="0" quotePrefix="0" xfId="0"/>
    <xf numFmtId="3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0" customWidth="1" min="3" max="3"/>
    <col width="12" customWidth="1" min="4" max="4"/>
    <col width="12" customWidth="1" min="5" max="5"/>
    <col width="14" customWidth="1" min="6" max="6"/>
    <col width="10" customWidth="1" min="7" max="7"/>
    <col width="34" customWidth="1" min="8" max="8"/>
    <col width="30" customWidth="1" min="9" max="9"/>
  </cols>
  <sheetData>
    <row r="1" ht="26" customHeight="1">
      <c r="A1" s="1" t="inlineStr">
        <is>
          <t>第 0 階段：桌上原型（第 1 個月（4 週））</t>
        </is>
      </c>
    </row>
    <row r="2">
      <c r="A2" s="2" t="inlineStr">
        <is>
          <t>目標：一片 ES302 樣品：人踩上去，手機收到 LINE；能量到 50 g 的積砂變化。價格為 2026-09 查價；「估計」下單前請再詢價。</t>
        </is>
      </c>
    </row>
    <row r="4" ht="30" customHeight="1">
      <c r="A4" s="3" t="inlineStr">
        <is>
          <t>✓ 已買</t>
        </is>
      </c>
      <c r="B4" s="3" t="inlineStr">
        <is>
          <t>品項</t>
        </is>
      </c>
      <c r="C4" s="3" t="inlineStr">
        <is>
          <t>計入預算</t>
        </is>
      </c>
      <c r="D4" s="3" t="inlineStr">
        <is>
          <t>最低 (NT$)</t>
        </is>
      </c>
      <c r="E4" s="3" t="inlineStr">
        <is>
          <t>最高 (NT$)</t>
        </is>
      </c>
      <c r="F4" s="3" t="inlineStr">
        <is>
          <t>實際花費 (NT$)</t>
        </is>
      </c>
      <c r="G4" s="3" t="inlineStr">
        <is>
          <t>價格來源</t>
        </is>
      </c>
      <c r="H4" s="3" t="inlineStr">
        <is>
          <t>參考／通路</t>
        </is>
      </c>
      <c r="I4" s="3" t="inlineStr">
        <is>
          <t>備註</t>
        </is>
      </c>
    </row>
    <row r="5">
      <c r="A5" s="4" t="inlineStr"/>
      <c r="B5" s="4" t="inlineStr">
        <is>
          <t>MCU 開發板：XIAO ESP32C6 ×2、ESP32-C6-DevKitC ×1</t>
        </is>
      </c>
      <c r="C5" s="4" t="inlineStr">
        <is>
          <t>是</t>
        </is>
      </c>
      <c r="D5" s="5" t="n">
        <v>1209</v>
      </c>
      <c r="E5" s="5" t="n">
        <v>1209</v>
      </c>
      <c r="F5" s="5" t="n"/>
      <c r="G5" s="4" t="inlineStr">
        <is>
          <t>查證</t>
        </is>
      </c>
      <c r="H5" s="4" t="inlineStr">
        <is>
          <t>iCShop 649＋280×2</t>
        </is>
      </c>
      <c r="I5" s="4" t="inlineStr"/>
    </row>
    <row r="6">
      <c r="A6" s="4" t="inlineStr"/>
      <c r="B6" s="4" t="inlineStr">
        <is>
          <t>PVDF 壓電膜樣品（TE DT1／SDT1 屏蔽型）×6</t>
        </is>
      </c>
      <c r="C6" s="4" t="inlineStr">
        <is>
          <t>是</t>
        </is>
      </c>
      <c r="D6" s="5" t="n">
        <v>900</v>
      </c>
      <c r="E6" s="5" t="n">
        <v>2100</v>
      </c>
      <c r="F6" s="5" t="n"/>
      <c r="G6" s="4" t="inlineStr">
        <is>
          <t>估計</t>
        </is>
      </c>
      <c r="H6" s="4" t="inlineStr">
        <is>
          <t>element14 有售</t>
        </is>
      </c>
      <c r="I6" s="4" t="inlineStr"/>
    </row>
    <row r="7">
      <c r="A7" s="4" t="inlineStr"/>
      <c r="B7" s="4" t="inlineStr">
        <is>
          <t>奈安級比較器 TLV3691 ×6＋TVS、電阻</t>
        </is>
      </c>
      <c r="C7" s="4" t="inlineStr">
        <is>
          <t>是</t>
        </is>
      </c>
      <c r="D7" s="5" t="n">
        <v>300</v>
      </c>
      <c r="E7" s="5" t="n">
        <v>600</v>
      </c>
      <c r="F7" s="5" t="n"/>
      <c r="G7" s="4" t="inlineStr">
        <is>
          <t>估計</t>
        </is>
      </c>
      <c r="H7" s="4" t="inlineStr"/>
      <c r="I7" s="4" t="inlineStr">
        <is>
          <t>讓壓電直接喚醒 MCU</t>
        </is>
      </c>
    </row>
    <row r="8">
      <c r="A8" s="4" t="inlineStr"/>
      <c r="B8" s="4" t="inlineStr">
        <is>
          <t>FDC1004 電容感測模組＋叉指電極 PCB 打樣</t>
        </is>
      </c>
      <c r="C8" s="4" t="inlineStr">
        <is>
          <t>是</t>
        </is>
      </c>
      <c r="D8" s="5" t="n">
        <v>800</v>
      </c>
      <c r="E8" s="5" t="n">
        <v>1500</v>
      </c>
      <c r="F8" s="5" t="n"/>
      <c r="G8" s="4" t="inlineStr">
        <is>
          <t>估計</t>
        </is>
      </c>
      <c r="H8" s="4" t="inlineStr"/>
      <c r="I8" s="4" t="inlineStr"/>
    </row>
    <row r="9">
      <c r="A9" s="4" t="inlineStr"/>
      <c r="B9" s="4" t="inlineStr">
        <is>
          <t>316 不鏽鋼電極針、SHT40（模組內密封監測）</t>
        </is>
      </c>
      <c r="C9" s="4" t="inlineStr">
        <is>
          <t>是</t>
        </is>
      </c>
      <c r="D9" s="5" t="n">
        <v>400</v>
      </c>
      <c r="E9" s="5" t="n">
        <v>700</v>
      </c>
      <c r="F9" s="5" t="n"/>
      <c r="G9" s="4" t="inlineStr">
        <is>
          <t>估計</t>
        </is>
      </c>
      <c r="H9" s="4" t="inlineStr"/>
      <c r="I9" s="4" t="inlineStr"/>
    </row>
    <row r="10">
      <c r="A10" s="4" t="inlineStr"/>
      <c r="B10" s="4" t="inlineStr">
        <is>
          <t>NFC 金屬面標籤 NTAG216 ×10</t>
        </is>
      </c>
      <c r="C10" s="4" t="inlineStr">
        <is>
          <t>是</t>
        </is>
      </c>
      <c r="D10" s="5" t="n">
        <v>450</v>
      </c>
      <c r="E10" s="5" t="n">
        <v>650</v>
      </c>
      <c r="F10" s="5" t="n"/>
      <c r="G10" s="4" t="inlineStr">
        <is>
          <t>查證</t>
        </is>
      </c>
      <c r="H10" s="4" t="inlineStr">
        <is>
          <t>shopnfc €1.29／顆</t>
        </is>
      </c>
      <c r="I10" s="4" t="inlineStr"/>
    </row>
    <row r="11">
      <c r="A11" s="4" t="inlineStr"/>
      <c r="B11" s="4" t="inlineStr">
        <is>
          <t>電子秤／吊秤（清坑秤砂、校正模型）</t>
        </is>
      </c>
      <c r="C11" s="4" t="inlineStr">
        <is>
          <t>是</t>
        </is>
      </c>
      <c r="D11" s="5" t="n">
        <v>300</v>
      </c>
      <c r="E11" s="5" t="n">
        <v>800</v>
      </c>
      <c r="F11" s="5" t="n"/>
      <c r="G11" s="4" t="inlineStr">
        <is>
          <t>估計</t>
        </is>
      </c>
      <c r="H11" s="4" t="inlineStr"/>
      <c r="I11" s="4" t="inlineStr"/>
    </row>
    <row r="12">
      <c r="A12" s="4" t="inlineStr"/>
      <c r="B12" s="4" t="inlineStr">
        <is>
          <t>ER14505 鋰亞電池 ×4＋超級電容（應付發射尖峰）</t>
        </is>
      </c>
      <c r="C12" s="4" t="inlineStr">
        <is>
          <t>是</t>
        </is>
      </c>
      <c r="D12" s="5" t="n">
        <v>1000</v>
      </c>
      <c r="E12" s="5" t="n">
        <v>1500</v>
      </c>
      <c r="F12" s="5" t="n"/>
      <c r="G12" s="4" t="inlineStr">
        <is>
          <t>查證</t>
        </is>
      </c>
      <c r="H12" s="4" t="inlineStr">
        <is>
          <t>百裕 EEMB NT$178</t>
        </is>
      </c>
      <c r="I12" s="4" t="inlineStr"/>
    </row>
    <row r="13">
      <c r="A13" s="4" t="inlineStr"/>
      <c r="B13" s="4" t="inlineStr">
        <is>
          <t>LoRa 920 MHz：Wio-SX1262 ×2＋Heltec V3（當簡易閘道）</t>
        </is>
      </c>
      <c r="C13" s="4" t="inlineStr">
        <is>
          <t>是</t>
        </is>
      </c>
      <c r="D13" s="5" t="n">
        <v>1300</v>
      </c>
      <c r="E13" s="5" t="n">
        <v>1800</v>
      </c>
      <c r="F13" s="5" t="n"/>
      <c r="G13" s="4" t="inlineStr">
        <is>
          <t>估計</t>
        </is>
      </c>
      <c r="H13" s="4" t="inlineStr"/>
      <c r="I13" s="4" t="inlineStr"/>
    </row>
    <row r="14">
      <c r="A14" s="4" t="inlineStr"/>
      <c r="B14" s="4" t="inlineStr">
        <is>
          <t>防水盒、PG7 接頭、灌封膠、線材、耗材</t>
        </is>
      </c>
      <c r="C14" s="4" t="inlineStr">
        <is>
          <t>是</t>
        </is>
      </c>
      <c r="D14" s="5" t="n">
        <v>1500</v>
      </c>
      <c r="E14" s="5" t="n">
        <v>3000</v>
      </c>
      <c r="F14" s="5" t="n"/>
      <c r="G14" s="4" t="inlineStr">
        <is>
          <t>估計</t>
        </is>
      </c>
      <c r="H14" s="4" t="inlineStr"/>
      <c r="I14" s="4" t="inlineStr"/>
    </row>
    <row r="15">
      <c r="A15" s="4" t="inlineStr"/>
      <c r="B15" s="4" t="inlineStr">
        <is>
          <t>Nordic PPK2 功耗量測儀（可以一直用）</t>
        </is>
      </c>
      <c r="C15" s="4" t="inlineStr">
        <is>
          <t>是</t>
        </is>
      </c>
      <c r="D15" s="5" t="n">
        <v>3500</v>
      </c>
      <c r="E15" s="5" t="n">
        <v>4500</v>
      </c>
      <c r="F15" s="5" t="n"/>
      <c r="G15" s="4" t="inlineStr">
        <is>
          <t>估計</t>
        </is>
      </c>
      <c r="H15" s="4" t="inlineStr"/>
      <c r="I15" s="4" t="inlineStr">
        <is>
          <t>推算電池壽命一定要用</t>
        </is>
      </c>
    </row>
    <row r="16">
      <c r="A16" s="4" t="inlineStr"/>
      <c r="B16" s="4" t="inlineStr">
        <is>
          <t>雲端 Cloudflare 免費方案＋LINE 官方帳號輕用量</t>
        </is>
      </c>
      <c r="C16" s="4" t="inlineStr">
        <is>
          <t>是</t>
        </is>
      </c>
      <c r="D16" s="5" t="n">
        <v>0</v>
      </c>
      <c r="E16" s="5" t="n">
        <v>0</v>
      </c>
      <c r="F16" s="5" t="n"/>
      <c r="G16" s="4" t="inlineStr">
        <is>
          <t>查證</t>
        </is>
      </c>
      <c r="H16" s="4" t="inlineStr"/>
      <c r="I16" s="4" t="inlineStr"/>
    </row>
    <row r="17">
      <c r="A17" s="4" t="inlineStr"/>
      <c r="B17" s="4" t="inlineStr">
        <is>
          <t>ES302 樣品、木框凹槽（公司庫存）</t>
        </is>
      </c>
      <c r="C17" s="4" t="inlineStr">
        <is>
          <t>是</t>
        </is>
      </c>
      <c r="D17" s="5" t="n">
        <v>0</v>
      </c>
      <c r="E17" s="5" t="n">
        <v>0</v>
      </c>
      <c r="F17" s="5" t="n"/>
      <c r="G17" s="4" t="inlineStr">
        <is>
          <t>估計</t>
        </is>
      </c>
      <c r="H17" s="4" t="inlineStr"/>
      <c r="I17" s="4" t="inlineStr"/>
    </row>
    <row r="18">
      <c r="A18" s="4" t="inlineStr"/>
      <c r="B18" s="4" t="inlineStr">
        <is>
          <t>（選用）4G 路由器 TL-MR100＋IoT SIM</t>
        </is>
      </c>
      <c r="C18" s="4" t="inlineStr">
        <is>
          <t>否</t>
        </is>
      </c>
      <c r="D18" s="5" t="n">
        <v>1535</v>
      </c>
      <c r="E18" s="5" t="n">
        <v>1735</v>
      </c>
      <c r="F18" s="5" t="n"/>
      <c r="G18" s="4" t="inlineStr">
        <is>
          <t>查證</t>
        </is>
      </c>
      <c r="H18" s="4" t="inlineStr">
        <is>
          <t>PChome 1,499 起；SIM 月租 35 起</t>
        </is>
      </c>
      <c r="I18" s="4" t="inlineStr"/>
    </row>
    <row r="20">
      <c r="B20" s="6" t="inlineStr">
        <is>
          <t>小計（計入預算＝是）</t>
        </is>
      </c>
      <c r="D20" s="7">
        <f>SUMIF($C$5:$C$18,"是",D5:D18)</f>
        <v/>
      </c>
      <c r="E20" s="7">
        <f>SUMIF($C$5:$C$18,"是",E5:E18)</f>
        <v/>
      </c>
      <c r="F20" s="7">
        <f>SUM(F5:F18)</f>
        <v/>
      </c>
    </row>
  </sheetData>
  <mergeCells count="2">
    <mergeCell ref="A1:I1"/>
    <mergeCell ref="A2:I2"/>
  </mergeCells>
  <dataValidations count="2">
    <dataValidation sqref="C5:C18" showDropDown="0" showInputMessage="0" showErrorMessage="0" allowBlank="0" type="list">
      <formula1>"是,否"</formula1>
    </dataValidation>
    <dataValidation sqref="A5:A18" showDropDown="0" showInputMessage="0" showErrorMessage="0" allowBlank="1" type="list">
      <formula1>"✓,"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0" customWidth="1" min="3" max="3"/>
    <col width="12" customWidth="1" min="4" max="4"/>
    <col width="12" customWidth="1" min="5" max="5"/>
    <col width="14" customWidth="1" min="6" max="6"/>
    <col width="10" customWidth="1" min="7" max="7"/>
    <col width="34" customWidth="1" min="8" max="8"/>
    <col width="30" customWidth="1" min="9" max="9"/>
  </cols>
  <sheetData>
    <row r="1" ht="26" customHeight="1">
      <c r="A1" s="1" t="inlineStr">
        <is>
          <t>第 1 階段：密封模組＋3 個試點（第 2–4 個月）</t>
        </is>
      </c>
    </row>
    <row r="2">
      <c r="A2" s="2" t="inlineStr">
        <is>
          <t>目標：5 組灌膠模組、公司門口＋2 個友好案場，連續 60 天不斷線。價格為 2026-09 查價；「估計」下單前請再詢價。</t>
        </is>
      </c>
    </row>
    <row r="4" ht="30" customHeight="1">
      <c r="A4" s="3" t="inlineStr">
        <is>
          <t>✓ 已買</t>
        </is>
      </c>
      <c r="B4" s="3" t="inlineStr">
        <is>
          <t>品項</t>
        </is>
      </c>
      <c r="C4" s="3" t="inlineStr">
        <is>
          <t>計入預算</t>
        </is>
      </c>
      <c r="D4" s="3" t="inlineStr">
        <is>
          <t>最低 (NT$)</t>
        </is>
      </c>
      <c r="E4" s="3" t="inlineStr">
        <is>
          <t>最高 (NT$)</t>
        </is>
      </c>
      <c r="F4" s="3" t="inlineStr">
        <is>
          <t>實際花費 (NT$)</t>
        </is>
      </c>
      <c r="G4" s="3" t="inlineStr">
        <is>
          <t>價格來源</t>
        </is>
      </c>
      <c r="H4" s="3" t="inlineStr">
        <is>
          <t>參考／通路</t>
        </is>
      </c>
      <c r="I4" s="3" t="inlineStr">
        <is>
          <t>備註</t>
        </is>
      </c>
    </row>
    <row r="5">
      <c r="A5" s="4" t="inlineStr"/>
      <c r="B5" s="4" t="inlineStr">
        <is>
          <t>PCB 線路與 Layout 外包審查</t>
        </is>
      </c>
      <c r="C5" s="4" t="inlineStr">
        <is>
          <t>是</t>
        </is>
      </c>
      <c r="D5" s="5" t="n">
        <v>10000</v>
      </c>
      <c r="E5" s="5" t="n">
        <v>20000</v>
      </c>
      <c r="F5" s="5" t="n"/>
      <c r="G5" s="4" t="inlineStr">
        <is>
          <t>估計</t>
        </is>
      </c>
      <c r="H5" s="4" t="inlineStr">
        <is>
          <t>Pro360 行情 3,000–15,000／件</t>
        </is>
      </c>
      <c r="I5" s="4" t="inlineStr"/>
    </row>
    <row r="6">
      <c r="A6" s="4" t="inlineStr"/>
      <c r="B6" s="4" t="inlineStr">
        <is>
          <t>PCB 打樣＋SMT 10 片 ×2 版次</t>
        </is>
      </c>
      <c r="C6" s="4" t="inlineStr">
        <is>
          <t>是</t>
        </is>
      </c>
      <c r="D6" s="5" t="n">
        <v>5000</v>
      </c>
      <c r="E6" s="5" t="n">
        <v>10000</v>
      </c>
      <c r="F6" s="5" t="n"/>
      <c r="G6" s="4" t="inlineStr">
        <is>
          <t>查證</t>
        </is>
      </c>
      <c r="H6" s="4" t="inlineStr">
        <is>
          <t>JLCPCB 開機費 US$8 起</t>
        </is>
      </c>
      <c r="I6" s="4" t="inlineStr"/>
    </row>
    <row r="7">
      <c r="A7" s="4" t="inlineStr"/>
      <c r="B7" s="4" t="inlineStr">
        <is>
          <t>模組零件 ×5 組（MCU、LoRa 模組、比較器、電池）</t>
        </is>
      </c>
      <c r="C7" s="4" t="inlineStr">
        <is>
          <t>是</t>
        </is>
      </c>
      <c r="D7" s="5" t="n">
        <v>7500</v>
      </c>
      <c r="E7" s="5" t="n">
        <v>12500</v>
      </c>
      <c r="F7" s="5" t="n"/>
      <c r="G7" s="4" t="inlineStr">
        <is>
          <t>估計</t>
        </is>
      </c>
      <c r="H7" s="4" t="inlineStr"/>
      <c r="I7" s="4" t="inlineStr"/>
    </row>
    <row r="8">
      <c r="A8" s="4" t="inlineStr"/>
      <c r="B8" s="4" t="inlineStr">
        <is>
          <t>壓電感測底座條打樣（中空 PVC 擠型＋層壓 PVDF）</t>
        </is>
      </c>
      <c r="C8" s="4" t="inlineStr">
        <is>
          <t>是</t>
        </is>
      </c>
      <c r="D8" s="5" t="n">
        <v>10000</v>
      </c>
      <c r="E8" s="5" t="n">
        <v>30000</v>
      </c>
      <c r="F8" s="5" t="n"/>
      <c r="G8" s="4" t="inlineStr">
        <is>
          <t>估計</t>
        </is>
      </c>
      <c r="H8" s="4" t="inlineStr"/>
      <c r="I8" s="4" t="inlineStr">
        <is>
          <t>不能共擠：擠好中空條後再滑入壓電膜</t>
        </is>
      </c>
    </row>
    <row r="9">
      <c r="A9" s="4" t="inlineStr"/>
      <c r="B9" s="4" t="inlineStr">
        <is>
          <t>FPC 叉指電極＋積水電極打樣</t>
        </is>
      </c>
      <c r="C9" s="4" t="inlineStr">
        <is>
          <t>是</t>
        </is>
      </c>
      <c r="D9" s="5" t="n">
        <v>3000</v>
      </c>
      <c r="E9" s="5" t="n">
        <v>6000</v>
      </c>
      <c r="F9" s="5" t="n"/>
      <c r="G9" s="4" t="inlineStr">
        <is>
          <t>估計</t>
        </is>
      </c>
      <c r="H9" s="4" t="inlineStr"/>
      <c r="I9" s="4" t="inlineStr"/>
    </row>
    <row r="10">
      <c r="A10" s="4" t="inlineStr"/>
      <c r="B10" s="4" t="inlineStr">
        <is>
          <t>鋁框端蓋模組艙 CNC＋灌膠 ×5（胎壓計工廠協助）</t>
        </is>
      </c>
      <c r="C10" s="4" t="inlineStr">
        <is>
          <t>是</t>
        </is>
      </c>
      <c r="D10" s="5" t="n">
        <v>2500</v>
      </c>
      <c r="E10" s="5" t="n">
        <v>7500</v>
      </c>
      <c r="F10" s="5" t="n"/>
      <c r="G10" s="4" t="inlineStr">
        <is>
          <t>估計</t>
        </is>
      </c>
      <c r="H10" s="4" t="inlineStr"/>
      <c r="I10" s="4" t="inlineStr">
        <is>
          <t>用自家鋁擠型，不用開塑膠模</t>
        </is>
      </c>
    </row>
    <row r="11">
      <c r="A11" s="4" t="inlineStr"/>
      <c r="B11" s="4" t="inlineStr">
        <is>
          <t>射頻／天線調校（胎壓計工廠協助；若外包）</t>
        </is>
      </c>
      <c r="C11" s="4" t="inlineStr">
        <is>
          <t>是</t>
        </is>
      </c>
      <c r="D11" s="5" t="n">
        <v>0</v>
      </c>
      <c r="E11" s="5" t="n">
        <v>30000</v>
      </c>
      <c r="F11" s="5" t="n"/>
      <c r="G11" s="4" t="inlineStr">
        <is>
          <t>估計</t>
        </is>
      </c>
      <c r="H11" s="4" t="inlineStr"/>
      <c r="I11" s="4" t="inlineStr"/>
    </row>
    <row r="12">
      <c r="A12" s="4" t="inlineStr"/>
      <c r="B12" s="4" t="inlineStr">
        <is>
          <t>閘道器 ×3 棟（LoRa 閘道＋4G 路由器）</t>
        </is>
      </c>
      <c r="C12" s="4" t="inlineStr">
        <is>
          <t>是</t>
        </is>
      </c>
      <c r="D12" s="5" t="n">
        <v>7000</v>
      </c>
      <c r="E12" s="5" t="n">
        <v>28000</v>
      </c>
      <c r="F12" s="5" t="n"/>
      <c r="G12" s="4" t="inlineStr">
        <is>
          <t>查證</t>
        </is>
      </c>
      <c r="H12" s="4" t="inlineStr">
        <is>
          <t>RAK7268V2 US$154 起</t>
        </is>
      </c>
      <c r="I12" s="4" t="inlineStr"/>
    </row>
    <row r="13">
      <c r="A13" s="4" t="inlineStr"/>
      <c r="B13" s="4" t="inlineStr">
        <is>
          <t>IoT SIM ×3 × 3 個月</t>
        </is>
      </c>
      <c r="C13" s="4" t="inlineStr">
        <is>
          <t>是</t>
        </is>
      </c>
      <c r="D13" s="5" t="n">
        <v>315</v>
      </c>
      <c r="E13" s="5" t="n">
        <v>720</v>
      </c>
      <c r="F13" s="5" t="n"/>
      <c r="G13" s="4" t="inlineStr">
        <is>
          <t>查證</t>
        </is>
      </c>
      <c r="H13" s="4" t="inlineStr">
        <is>
          <t>中華電信 LTE-M 40／月、遠傳 IoT 4G 35／月</t>
        </is>
      </c>
      <c r="I13" s="4" t="inlineStr"/>
    </row>
    <row r="14">
      <c r="A14" s="4" t="inlineStr"/>
      <c r="B14" s="4" t="inlineStr">
        <is>
          <t>NCC 登錄（用已取得 NCC 的無線模組）</t>
        </is>
      </c>
      <c r="C14" s="4" t="inlineStr">
        <is>
          <t>是</t>
        </is>
      </c>
      <c r="D14" s="5" t="n">
        <v>1500</v>
      </c>
      <c r="E14" s="5" t="n">
        <v>2100</v>
      </c>
      <c r="F14" s="5" t="n"/>
      <c r="G14" s="4" t="inlineStr">
        <is>
          <t>查證</t>
        </is>
      </c>
      <c r="H14" s="4" t="inlineStr">
        <is>
          <t>登錄費 1,500＋證照費 600</t>
        </is>
      </c>
      <c r="I14" s="4" t="inlineStr"/>
    </row>
    <row r="15">
      <c r="A15" s="4" t="inlineStr"/>
      <c r="B15" s="4" t="inlineStr">
        <is>
          <t>產品責任險＋公共意外責任險（一年）</t>
        </is>
      </c>
      <c r="C15" s="4" t="inlineStr">
        <is>
          <t>是</t>
        </is>
      </c>
      <c r="D15" s="5" t="n">
        <v>10000</v>
      </c>
      <c r="E15" s="5" t="n">
        <v>30000</v>
      </c>
      <c r="F15" s="5" t="n"/>
      <c r="G15" s="4" t="inlineStr">
        <is>
          <t>估計</t>
        </is>
      </c>
      <c r="H15" s="4" t="inlineStr"/>
      <c r="I15" s="4" t="inlineStr">
        <is>
          <t>請保經報價</t>
        </is>
      </c>
    </row>
    <row r="16">
      <c r="A16" s="4" t="inlineStr"/>
      <c r="B16" s="4" t="inlineStr">
        <is>
          <t>試點協議、個資條款請律師審閱</t>
        </is>
      </c>
      <c r="C16" s="4" t="inlineStr">
        <is>
          <t>是</t>
        </is>
      </c>
      <c r="D16" s="5" t="n">
        <v>5000</v>
      </c>
      <c r="E16" s="5" t="n">
        <v>15000</v>
      </c>
      <c r="F16" s="5" t="n"/>
      <c r="G16" s="4" t="inlineStr">
        <is>
          <t>估計</t>
        </is>
      </c>
      <c r="H16" s="4" t="inlineStr"/>
      <c r="I16" s="4" t="inlineStr"/>
    </row>
    <row r="17">
      <c r="A17" s="4" t="inlineStr"/>
      <c r="B17" s="4" t="inlineStr">
        <is>
          <t>試點安裝工時與交通（自家施工班）</t>
        </is>
      </c>
      <c r="C17" s="4" t="inlineStr">
        <is>
          <t>是</t>
        </is>
      </c>
      <c r="D17" s="5" t="n">
        <v>10000</v>
      </c>
      <c r="E17" s="5" t="n">
        <v>20000</v>
      </c>
      <c r="F17" s="5" t="n"/>
      <c r="G17" s="4" t="inlineStr">
        <is>
          <t>估計</t>
        </is>
      </c>
      <c r="H17" s="4" t="inlineStr"/>
      <c r="I17" s="4" t="inlineStr"/>
    </row>
    <row r="18">
      <c r="A18" s="4" t="inlineStr"/>
      <c r="B18" s="4" t="inlineStr">
        <is>
          <t>雲端＋LINE 中用量（3 個月）</t>
        </is>
      </c>
      <c r="C18" s="4" t="inlineStr">
        <is>
          <t>是</t>
        </is>
      </c>
      <c r="D18" s="5" t="n">
        <v>0</v>
      </c>
      <c r="E18" s="5" t="n">
        <v>3000</v>
      </c>
      <c r="F18" s="5" t="n"/>
      <c r="G18" s="4" t="inlineStr">
        <is>
          <t>查證</t>
        </is>
      </c>
      <c r="H18" s="4" t="inlineStr">
        <is>
          <t>LINE 中用量 2026/11 起 NT$1,000／月</t>
        </is>
      </c>
      <c r="I18" s="4" t="inlineStr"/>
    </row>
    <row r="19">
      <c r="A19" s="4" t="inlineStr"/>
      <c r="B19" s="4" t="inlineStr">
        <is>
          <t>（選用）NCC 完整送測（如果模組沒有 NCC）</t>
        </is>
      </c>
      <c r="C19" s="4" t="inlineStr">
        <is>
          <t>否</t>
        </is>
      </c>
      <c r="D19" s="5" t="n">
        <v>80000</v>
      </c>
      <c r="E19" s="5" t="n">
        <v>150000</v>
      </c>
      <c r="F19" s="5" t="n"/>
      <c r="G19" s="4" t="inlineStr">
        <is>
          <t>估計</t>
        </is>
      </c>
      <c r="H19" s="4" t="inlineStr">
        <is>
          <t>審驗費 10,300＋實驗室測試費</t>
        </is>
      </c>
      <c r="I19" s="4" t="inlineStr"/>
    </row>
    <row r="21">
      <c r="B21" s="6" t="inlineStr">
        <is>
          <t>小計（計入預算＝是）</t>
        </is>
      </c>
      <c r="D21" s="7">
        <f>SUMIF($C$5:$C$19,"是",D5:D19)</f>
        <v/>
      </c>
      <c r="E21" s="7">
        <f>SUMIF($C$5:$C$19,"是",E5:E19)</f>
        <v/>
      </c>
      <c r="F21" s="7">
        <f>SUM(F5:F19)</f>
        <v/>
      </c>
    </row>
  </sheetData>
  <mergeCells count="2">
    <mergeCell ref="A1:I1"/>
    <mergeCell ref="A2:I2"/>
  </mergeCells>
  <dataValidations count="2">
    <dataValidation sqref="C5:C19" showDropDown="0" showInputMessage="0" showErrorMessage="0" allowBlank="0" type="list">
      <formula1>"是,否"</formula1>
    </dataValidation>
    <dataValidation sqref="A5:A19" showDropDown="0" showInputMessage="0" showErrorMessage="0" allowBlank="1" type="list">
      <formula1>"✓,"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0" customWidth="1" min="3" max="3"/>
    <col width="12" customWidth="1" min="4" max="4"/>
    <col width="12" customWidth="1" min="5" max="5"/>
    <col width="14" customWidth="1" min="6" max="6"/>
    <col width="10" customWidth="1" min="7" max="7"/>
    <col width="34" customWidth="1" min="8" max="8"/>
    <col width="30" customWidth="1" min="9" max="9"/>
  </cols>
  <sheetData>
    <row r="1" ht="26" customHeight="1">
      <c r="A1" s="1" t="inlineStr">
        <is>
          <t>第 2 階段：10–30 個入口付費試點（第 5–12 個月）</t>
        </is>
      </c>
    </row>
    <row r="2">
      <c r="A2" s="2" t="inlineStr">
        <is>
          <t>目標：試點轉付費 ≥ 30%，每入口每月毛利 ≥ NT$1,000。價格為 2026-09 查價；「估計」下單前請再詢價。</t>
        </is>
      </c>
    </row>
    <row r="4" ht="30" customHeight="1">
      <c r="A4" s="3" t="inlineStr">
        <is>
          <t>✓ 已買</t>
        </is>
      </c>
      <c r="B4" s="3" t="inlineStr">
        <is>
          <t>品項</t>
        </is>
      </c>
      <c r="C4" s="3" t="inlineStr">
        <is>
          <t>計入預算</t>
        </is>
      </c>
      <c r="D4" s="3" t="inlineStr">
        <is>
          <t>最低 (NT$)</t>
        </is>
      </c>
      <c r="E4" s="3" t="inlineStr">
        <is>
          <t>最高 (NT$)</t>
        </is>
      </c>
      <c r="F4" s="3" t="inlineStr">
        <is>
          <t>實際花費 (NT$)</t>
        </is>
      </c>
      <c r="G4" s="3" t="inlineStr">
        <is>
          <t>價格來源</t>
        </is>
      </c>
      <c r="H4" s="3" t="inlineStr">
        <is>
          <t>參考／通路</t>
        </is>
      </c>
      <c r="I4" s="3" t="inlineStr">
        <is>
          <t>備註</t>
        </is>
      </c>
    </row>
    <row r="5">
      <c r="A5" s="4" t="inlineStr"/>
      <c r="B5" s="4" t="inlineStr">
        <is>
          <t>模組小量生產 ×30（零件＋PCBA＋灌膠）</t>
        </is>
      </c>
      <c r="C5" s="4" t="inlineStr">
        <is>
          <t>是</t>
        </is>
      </c>
      <c r="D5" s="5" t="n">
        <v>60000</v>
      </c>
      <c r="E5" s="5" t="n">
        <v>120000</v>
      </c>
      <c r="F5" s="5" t="n"/>
      <c r="G5" s="4" t="inlineStr">
        <is>
          <t>估計</t>
        </is>
      </c>
      <c r="H5" s="4" t="inlineStr"/>
      <c r="I5" s="4" t="inlineStr"/>
    </row>
    <row r="6">
      <c r="A6" s="4" t="inlineStr"/>
      <c r="B6" s="4" t="inlineStr">
        <is>
          <t>閘道器 ×10 棟</t>
        </is>
      </c>
      <c r="C6" s="4" t="inlineStr">
        <is>
          <t>是</t>
        </is>
      </c>
      <c r="D6" s="5" t="n">
        <v>23000</v>
      </c>
      <c r="E6" s="5" t="n">
        <v>92000</v>
      </c>
      <c r="F6" s="5" t="n"/>
      <c r="G6" s="4" t="inlineStr">
        <is>
          <t>估計</t>
        </is>
      </c>
      <c r="H6" s="4" t="inlineStr"/>
      <c r="I6" s="4" t="inlineStr"/>
    </row>
    <row r="7">
      <c r="A7" s="4" t="inlineStr"/>
      <c r="B7" s="4" t="inlineStr">
        <is>
          <t>韌體／硬體外包：低功耗、量產測試治具</t>
        </is>
      </c>
      <c r="C7" s="4" t="inlineStr">
        <is>
          <t>是</t>
        </is>
      </c>
      <c r="D7" s="5" t="n">
        <v>80000</v>
      </c>
      <c r="E7" s="5" t="n">
        <v>200000</v>
      </c>
      <c r="F7" s="5" t="n"/>
      <c r="G7" s="4" t="inlineStr">
        <is>
          <t>估計</t>
        </is>
      </c>
      <c r="H7" s="4" t="inlineStr">
        <is>
          <t>低功耗節點設計行情 8–30 萬</t>
        </is>
      </c>
      <c r="I7" s="4" t="inlineStr"/>
    </row>
    <row r="8">
      <c r="A8" s="4" t="inlineStr"/>
      <c r="B8" s="4" t="inlineStr">
        <is>
          <t>資安 code review（上線前一次）</t>
        </is>
      </c>
      <c r="C8" s="4" t="inlineStr">
        <is>
          <t>是</t>
        </is>
      </c>
      <c r="D8" s="5" t="n">
        <v>10000</v>
      </c>
      <c r="E8" s="5" t="n">
        <v>30000</v>
      </c>
      <c r="F8" s="5" t="n"/>
      <c r="G8" s="4" t="inlineStr">
        <is>
          <t>估計</t>
        </is>
      </c>
      <c r="H8" s="4" t="inlineStr"/>
      <c r="I8" s="4" t="inlineStr"/>
    </row>
    <row r="9">
      <c r="A9" s="4" t="inlineStr"/>
      <c r="B9" s="4" t="inlineStr">
        <is>
          <t>服務人力：清坑、換毯（由現有施工班兼任）</t>
        </is>
      </c>
      <c r="C9" s="4" t="inlineStr">
        <is>
          <t>是</t>
        </is>
      </c>
      <c r="D9" s="5" t="n">
        <v>60000</v>
      </c>
      <c r="E9" s="5" t="n">
        <v>150000</v>
      </c>
      <c r="F9" s="5" t="n"/>
      <c r="G9" s="4" t="inlineStr">
        <is>
          <t>估計</t>
        </is>
      </c>
      <c r="H9" s="4" t="inlineStr"/>
      <c r="I9" s="4" t="inlineStr"/>
    </row>
    <row r="10">
      <c r="A10" s="4" t="inlineStr"/>
      <c r="B10" s="4" t="inlineStr">
        <is>
          <t>行銷：案例影片、規範範本、WELL 合規包、型錄</t>
        </is>
      </c>
      <c r="C10" s="4" t="inlineStr">
        <is>
          <t>是</t>
        </is>
      </c>
      <c r="D10" s="5" t="n">
        <v>30000</v>
      </c>
      <c r="E10" s="5" t="n">
        <v>80000</v>
      </c>
      <c r="F10" s="5" t="n"/>
      <c r="G10" s="4" t="inlineStr">
        <is>
          <t>估計</t>
        </is>
      </c>
      <c r="H10" s="4" t="inlineStr"/>
      <c r="I10" s="4" t="inlineStr"/>
    </row>
    <row r="11">
      <c r="A11" s="4" t="inlineStr"/>
      <c r="B11" s="4" t="inlineStr">
        <is>
          <t>雲端＋LINE＋SIM（8 個月）</t>
        </is>
      </c>
      <c r="C11" s="4" t="inlineStr">
        <is>
          <t>是</t>
        </is>
      </c>
      <c r="D11" s="5" t="n">
        <v>10000</v>
      </c>
      <c r="E11" s="5" t="n">
        <v>30000</v>
      </c>
      <c r="F11" s="5" t="n"/>
      <c r="G11" s="4" t="inlineStr">
        <is>
          <t>估計</t>
        </is>
      </c>
      <c r="H11" s="4" t="inlineStr"/>
      <c r="I11" s="4" t="inlineStr"/>
    </row>
    <row r="12">
      <c r="A12" s="4" t="inlineStr"/>
      <c r="B12" s="4" t="inlineStr">
        <is>
          <t>（選用）智慧城市展 2027 小攤位</t>
        </is>
      </c>
      <c r="C12" s="4" t="inlineStr">
        <is>
          <t>否</t>
        </is>
      </c>
      <c r="D12" s="5" t="n">
        <v>60000</v>
      </c>
      <c r="E12" s="5" t="n">
        <v>150000</v>
      </c>
      <c r="F12" s="5" t="n"/>
      <c r="G12" s="4" t="inlineStr">
        <is>
          <t>估計</t>
        </is>
      </c>
      <c r="H12" s="4" t="inlineStr"/>
      <c r="I12" s="4" t="inlineStr">
        <is>
          <t>早鳥報名到 10/30</t>
        </is>
      </c>
    </row>
    <row r="13">
      <c r="A13" s="4" t="inlineStr"/>
      <c r="B13" s="4" t="inlineStr">
        <is>
          <t>（選用）NCC 完整型式認證</t>
        </is>
      </c>
      <c r="C13" s="4" t="inlineStr">
        <is>
          <t>否</t>
        </is>
      </c>
      <c r="D13" s="5" t="n">
        <v>80000</v>
      </c>
      <c r="E13" s="5" t="n">
        <v>150000</v>
      </c>
      <c r="F13" s="5" t="n"/>
      <c r="G13" s="4" t="inlineStr">
        <is>
          <t>估計</t>
        </is>
      </c>
      <c r="H13" s="4" t="inlineStr"/>
      <c r="I13" s="4" t="inlineStr"/>
    </row>
    <row r="15">
      <c r="B15" s="6" t="inlineStr">
        <is>
          <t>小計（計入預算＝是）</t>
        </is>
      </c>
      <c r="D15" s="7">
        <f>SUMIF($C$5:$C$13,"是",D5:D13)</f>
        <v/>
      </c>
      <c r="E15" s="7">
        <f>SUMIF($C$5:$C$13,"是",E5:E13)</f>
        <v/>
      </c>
      <c r="F15" s="7">
        <f>SUM(F5:F13)</f>
        <v/>
      </c>
    </row>
  </sheetData>
  <mergeCells count="2">
    <mergeCell ref="A1:I1"/>
    <mergeCell ref="A2:I2"/>
  </mergeCells>
  <dataValidations count="2">
    <dataValidation sqref="C5:C13" showDropDown="0" showInputMessage="0" showErrorMessage="0" allowBlank="0" type="list">
      <formula1>"是,否"</formula1>
    </dataValidation>
    <dataValidation sqref="A5:A13" showDropDown="0" showInputMessage="0" showErrorMessage="0" allowBlank="1" type="list">
      <formula1>"✓,"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2026-09-29T02:45:53Z</dcterms:created>
  <dcterms:modified xsi:type="dcterms:W3CDTF">2026-09-29T02:45:53Z</dcterms:modified>
</cp:coreProperties>
</file>